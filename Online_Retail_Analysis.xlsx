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Yearly Stats" sheetId="2" state="visible" r:id="rId4"/>
    <sheet name="Monthly Trend" sheetId="3" state="visible" r:id="rId5"/>
    <sheet name="Top Customers" sheetId="4" state="visible" r:id="rId6"/>
    <sheet name="Regions" sheetId="5" state="visible" r:id="rId7"/>
    <sheet name="Top Products" sheetId="6" state="visible" r:id="rId8"/>
    <sheet name="Shopping Patter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<sst xmlns="http://schemas.openxmlformats.org/spreadsheetml/2006/main" count="189" uniqueCount="163">
  <si>
    <t xml:space="preserve">Online Retail II — Sales Analysis Dashboard</t>
  </si>
  <si>
    <t xml:space="preserve">Data period: 2009-12-01 to 2011-12-09  |  Source: UCI Online Retail II  |  Cleaned &amp; analyzed with Python (pandas)</t>
  </si>
  <si>
    <t xml:space="preserve">KPI</t>
  </si>
  <si>
    <t xml:space="preserve">Value</t>
  </si>
  <si>
    <t xml:space="preserve">Total Revenue (GBP)</t>
  </si>
  <si>
    <t xml:space="preserve">Total Orders</t>
  </si>
  <si>
    <t xml:space="preserve">Unique Customers</t>
  </si>
  <si>
    <t xml:space="preserve">Countries Served</t>
  </si>
  <si>
    <t xml:space="preserve">Unique Products (SKUs)</t>
  </si>
  <si>
    <t xml:space="preserve">Average Order Value (GBP)</t>
  </si>
  <si>
    <t xml:space="preserve">Data Cleaning Log</t>
  </si>
  <si>
    <t xml:space="preserve">Raw rows loaded: 1,067,371</t>
  </si>
  <si>
    <t xml:space="preserve">Exact duplicate rows removed: 34,335</t>
  </si>
  <si>
    <t xml:space="preserve">Cancelled/returned transactions separated out: 19,494</t>
  </si>
  <si>
    <t xml:space="preserve">Non-positive quantity/price rows removed: 6,019</t>
  </si>
  <si>
    <t xml:space="preserve">Test/adjustment stock codes removed (POSTAGE, BANK CHARGES, etc.): 4,183</t>
  </si>
  <si>
    <t xml:space="preserve">Missing Customer IDs (labeled 'GUEST'; kept for revenue, excluded from customer-level analysis): 226,868</t>
  </si>
  <si>
    <t xml:space="preserve">Extreme outliers flagged (&gt;3x IQR, kept but flagged for review): 52,247</t>
  </si>
  <si>
    <t xml:space="preserve">Final analysis-ready rows: 1,003,730</t>
  </si>
  <si>
    <t xml:space="preserve">Yearly Sales Statistics</t>
  </si>
  <si>
    <t xml:space="preserve">Note: 2009 (Dec only) and 2011 (Jan-9 Dec) are PARTIAL years — not directly comparable to full-year 2010</t>
  </si>
  <si>
    <t xml:space="preserve">Year</t>
  </si>
  <si>
    <t xml:space="preserve">AvgSale</t>
  </si>
  <si>
    <t xml:space="preserve">MinSale</t>
  </si>
  <si>
    <t xml:space="preserve">MaxSale</t>
  </si>
  <si>
    <t xml:space="preserve">TotalRevenue</t>
  </si>
  <si>
    <t xml:space="preserve">TransactionLines</t>
  </si>
  <si>
    <t xml:space="preserve">All Years (formula check)</t>
  </si>
  <si>
    <t xml:space="preserve">Year-over-Year Revenue Growth</t>
  </si>
  <si>
    <t xml:space="preserve">YoY_Growth_%</t>
  </si>
  <si>
    <t xml:space="preserve">Monthly Revenue Trend &amp; Seasonality</t>
  </si>
  <si>
    <t xml:space="preserve">YearMonth</t>
  </si>
  <si>
    <t xml:space="preserve">Sales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</si>
  <si>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</si>
  <si>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</si>
  <si>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</si>
  <si>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</si>
  <si>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</si>
  <si>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</si>
  <si>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</si>
  <si>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</si>
  <si>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</si>
  <si>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</si>
  <si>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</si>
  <si>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</si>
  <si>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</si>
  <si>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</si>
  <si>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</si>
  <si>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</si>
  <si>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</si>
  <si>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</si>
  <si>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</si>
  <si>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</si>
  <si>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</si>
  <si>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</si>
  <si>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</si>
  <si>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</si>
  <si>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</si>
  <si>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Seasonality (Calendar Month, All Years Combined)</t>
  </si>
  <si>
    <t xml:space="preserve">MonthName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</si>
  <si>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</si>
  <si>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</si>
  <si>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</si>
  <si>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</si>
  <si>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</si>
  <si>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</si>
  <si>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</si>
  <si>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</si>
  <si>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</si>
  <si>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</si>
  <si>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</si>
  <si>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</si>
  <si>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5 Best Months</t>
  </si>
  <si>
    <t xml:space="preserve">Bottom 5 Worst Months</t>
  </si>
  <si>
    <t xml:space="preserve">Top-Selling Customers</t>
  </si>
  <si>
    <t xml:space="preserve">Pareto insight: only 23.1% of customers generate 80% of total revenue</t>
  </si>
  <si>
    <t xml:space="preserve">Customer ID</t>
  </si>
  <si>
    <t xml:space="preserve">Orders</t>
  </si>
  <si>
    <t xml:space="preserve">Items</t>
  </si>
  <si>
    <t xml:space="preserve">18102.0</t>
  </si>
  <si>
    <t xml:space="preserve">14646.0</t>
  </si>
  <si>
    <t xml:space="preserve">14156.0</t>
  </si>
  <si>
    <t xml:space="preserve">14911.0</t>
  </si>
  <si>
    <t xml:space="preserve">17450.0</t>
  </si>
  <si>
    <t xml:space="preserve">13694.0</t>
  </si>
  <si>
    <t xml:space="preserve">17511.0</t>
  </si>
  <si>
    <t xml:space="preserve">16446.0</t>
  </si>
  <si>
    <t xml:space="preserve">16684.0</t>
  </si>
  <si>
    <t xml:space="preserve">12415.0</t>
  </si>
  <si>
    <t xml:space="preserve">15061.0</t>
  </si>
  <si>
    <t xml:space="preserve">15311.0</t>
  </si>
  <si>
    <t xml:space="preserve">13089.0</t>
  </si>
  <si>
    <t xml:space="preserve">16029.0</t>
  </si>
  <si>
    <t xml:space="preserve">17949.0</t>
  </si>
  <si>
    <t xml:space="preserve">RFM Customer Segmentation</t>
  </si>
  <si>
    <t xml:space="preserve">Segment</t>
  </si>
  <si>
    <t xml:space="preserve">Customers</t>
  </si>
  <si>
    <t xml:space="preserve">AvgMonetary</t>
  </si>
  <si>
    <t xml:space="preserve">At Risk</t>
  </si>
  <si>
    <t xml:space="preserve">Champions</t>
  </si>
  <si>
    <t xml:space="preserve">Lost/Hibernating</t>
  </si>
  <si>
    <t xml:space="preserve">Loyal Customers</t>
  </si>
  <si>
    <t xml:space="preserve">Potential Loyalists</t>
  </si>
  <si>
    <t xml:space="preserve">Regional Sales Performance (by Country)</t>
  </si>
  <si>
    <t xml:space="preserve">Best-Selling Regions (Top 10)</t>
  </si>
  <si>
    <t xml:space="preserve">Country</t>
  </si>
  <si>
    <t xml:space="preserve">United Kingdom</t>
  </si>
  <si>
    <t xml:space="preserve">EIRE</t>
  </si>
  <si>
    <t xml:space="preserve">Netherlands</t>
  </si>
  <si>
    <t xml:space="preserve">Germany</t>
  </si>
  <si>
    <t xml:space="preserve">France</t>
  </si>
  <si>
    <t xml:space="preserve">Australia</t>
  </si>
  <si>
    <t xml:space="preserve">Spain</t>
  </si>
  <si>
    <t xml:space="preserve">Switzerland</t>
  </si>
  <si>
    <t xml:space="preserve">Sweden</t>
  </si>
  <si>
    <t xml:space="preserve">Denmark</t>
  </si>
  <si>
    <t xml:space="preserve">Lowest-Selling Regions (Bottom 10)</t>
  </si>
  <si>
    <t xml:space="preserve">Nigeria</t>
  </si>
  <si>
    <t xml:space="preserve">Saudi Arabia</t>
  </si>
  <si>
    <t xml:space="preserve">West Indies</t>
  </si>
  <si>
    <t xml:space="preserve">Czech Republic</t>
  </si>
  <si>
    <t xml:space="preserve">Korea</t>
  </si>
  <si>
    <t xml:space="preserve">European Community</t>
  </si>
  <si>
    <t xml:space="preserve">Bermuda</t>
  </si>
  <si>
    <t xml:space="preserve">Brazil</t>
  </si>
  <si>
    <t xml:space="preserve">Lebanon</t>
  </si>
  <si>
    <t xml:space="preserve">Thailand</t>
  </si>
  <si>
    <t xml:space="preserve">Top-Selling Products</t>
  </si>
  <si>
    <t xml:space="preserve">StockCode</t>
  </si>
  <si>
    <t xml:space="preserve">Description</t>
  </si>
  <si>
    <t xml:space="preserve">QtySold</t>
  </si>
  <si>
    <t xml:space="preserve">22423</t>
  </si>
  <si>
    <t xml:space="preserve">REGENCY CAKESTAND 3 TIER</t>
  </si>
  <si>
    <t xml:space="preserve">85123A</t>
  </si>
  <si>
    <t xml:space="preserve">WHITE HANGING HEART T-LIGHT HOLDER</t>
  </si>
  <si>
    <t xml:space="preserve">23843</t>
  </si>
  <si>
    <t xml:space="preserve">PAPER CRAFT , LITTLE BIRDIE</t>
  </si>
  <si>
    <t xml:space="preserve">47566</t>
  </si>
  <si>
    <t xml:space="preserve">PARTY BUNTING</t>
  </si>
  <si>
    <t xml:space="preserve">85099B</t>
  </si>
  <si>
    <t xml:space="preserve">JUMBO BAG RED RETROSPOT</t>
  </si>
  <si>
    <t xml:space="preserve">84879</t>
  </si>
  <si>
    <t xml:space="preserve">ASSORTED COLOUR BIRD ORNAMENT</t>
  </si>
  <si>
    <t xml:space="preserve">22086</t>
  </si>
  <si>
    <t xml:space="preserve">PAPER CHAIN KIT 50'S CHRISTMAS</t>
  </si>
  <si>
    <t xml:space="preserve">23166</t>
  </si>
  <si>
    <t xml:space="preserve">MEDIUM CERAMIC TOP STORAGE JAR</t>
  </si>
  <si>
    <t xml:space="preserve">79321</t>
  </si>
  <si>
    <t xml:space="preserve">CHILLI LIGHTS</t>
  </si>
  <si>
    <t xml:space="preserve">84347</t>
  </si>
  <si>
    <t xml:space="preserve">ROTATING SILVER ANGELS T-LIGHT HLDR</t>
  </si>
  <si>
    <t xml:space="preserve">Shopping Behavior Patterns</t>
  </si>
  <si>
    <t xml:space="preserve">When customers buy — useful for staffing, marketing timing, and flash-sale planning</t>
  </si>
  <si>
    <t xml:space="preserve">Weekday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</si>
  <si>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</si>
  <si>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</si>
  <si>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</si>
  <si>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</si>
  <si>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</si>
  <si>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</si>
  <si>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</si>
  <si>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Revenue by Hour of Day</t>
  </si>
  <si>
    <t xml:space="preserve">Hour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</si>
</sst>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Stats'!F5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Stats'!$B$6:$B$8</c:f>
              <c:strCach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strCache>
            </c:strRef>
          </c:cat>
          <c:val>
            <c:numRef>
              <c:f>'Yearly Stats'!$F$6:$F$8</c:f>
              <c:numCache>
                <c:formatCode>#,##0.00</c:formatCode>
                <c:ptCount val="3"/>
                <c:pt idx="0">
                  <c:v>798618.53</c:v>
                </c:pt>
                <c:pt idx="1">
                  <c:v>9411734.9</c:v>
                </c:pt>
                <c:pt idx="2">
                  <c:v>9489986.05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083490"/>
        <c:axId val="74849301"/>
      </c:lineChart>
      <c:catAx>
        <c:axId val="44083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49301"/>
        <c:crosses val="autoZero"/>
        <c:auto val="1"/>
        <c:lblAlgn val="ctr"/>
        <c:lblOffset val="100"/>
        <c:noMultiLvlLbl val="0"/>
      </c:catAx>
      <c:valAx>
        <c:axId val="74849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(GBP)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83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 (Dec 2009 - Dec 2011)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Trend'!$B$5:$B$29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'Monthly Trend'!$C$5:$C$29</c:f>
              <c:numCache>
                <c:formatCode>#,##0.00</c:formatCode>
                <c:ptCount val="25"/>
                <c:pt idx="0">
                  <c:v>798618.53</c:v>
                </c:pt>
                <c:pt idx="1">
                  <c:v>621413.43</c:v>
                </c:pt>
                <c:pt idx="2">
                  <c:v>538126.69</c:v>
                </c:pt>
                <c:pt idx="3">
                  <c:v>762148.53</c:v>
                </c:pt>
                <c:pt idx="4">
                  <c:v>646875.36</c:v>
                </c:pt>
                <c:pt idx="5">
                  <c:v>643835.64</c:v>
                </c:pt>
                <c:pt idx="6">
                  <c:v>697832.32</c:v>
                </c:pt>
                <c:pt idx="7">
                  <c:v>633839.42</c:v>
                </c:pt>
                <c:pt idx="8">
                  <c:v>674842.89</c:v>
                </c:pt>
                <c:pt idx="9">
                  <c:v>869727.16</c:v>
                </c:pt>
                <c:pt idx="10">
                  <c:v>1095413.63</c:v>
                </c:pt>
                <c:pt idx="11">
                  <c:v>1437823.55</c:v>
                </c:pt>
                <c:pt idx="12">
                  <c:v>789856.28</c:v>
                </c:pt>
                <c:pt idx="13">
                  <c:v>670639.46</c:v>
                </c:pt>
                <c:pt idx="14">
                  <c:v>508081.54</c:v>
                </c:pt>
                <c:pt idx="15">
                  <c:v>690811.6</c:v>
                </c:pt>
                <c:pt idx="16">
                  <c:v>515899.66</c:v>
                </c:pt>
                <c:pt idx="17">
                  <c:v>740472.33</c:v>
                </c:pt>
                <c:pt idx="18">
                  <c:v>738233.99</c:v>
                </c:pt>
                <c:pt idx="19">
                  <c:v>688802.67</c:v>
                </c:pt>
                <c:pt idx="20">
                  <c:v>735770.22</c:v>
                </c:pt>
                <c:pt idx="21">
                  <c:v>1029245.38</c:v>
                </c:pt>
                <c:pt idx="22">
                  <c:v>1104063.97</c:v>
                </c:pt>
                <c:pt idx="23">
                  <c:v>1453265.98</c:v>
                </c:pt>
                <c:pt idx="24">
                  <c:v>614699.25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51680"/>
        <c:axId val="39785981"/>
      </c:lineChart>
      <c:catAx>
        <c:axId val="798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5981"/>
        <c:crosses val="autoZero"/>
        <c:auto val="1"/>
        <c:lblAlgn val="ctr"/>
        <c:lblOffset val="100"/>
        <c:noMultiLvlLbl val="0"/>
      </c:catAx>
      <c:valAx>
        <c:axId val="39785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(GBP)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51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Seasonality by Calendar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Trend'!C33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Trend'!$B$34:$B$45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Trend'!$C$34:$C$45</c:f>
              <c:numCache>
                <c:formatCode>#,##0.00</c:formatCode>
                <c:ptCount val="12"/>
                <c:pt idx="0">
                  <c:v>1292052.89</c:v>
                </c:pt>
                <c:pt idx="1">
                  <c:v>1046208.23</c:v>
                </c:pt>
                <c:pt idx="2">
                  <c:v>1452960.13</c:v>
                </c:pt>
                <c:pt idx="3">
                  <c:v>1162775.02</c:v>
                </c:pt>
                <c:pt idx="4">
                  <c:v>1384307.97</c:v>
                </c:pt>
                <c:pt idx="5">
                  <c:v>1436066.31</c:v>
                </c:pt>
                <c:pt idx="6">
                  <c:v>1322642.09</c:v>
                </c:pt>
                <c:pt idx="7">
                  <c:v>1410613.11</c:v>
                </c:pt>
                <c:pt idx="8">
                  <c:v>1898972.54</c:v>
                </c:pt>
                <c:pt idx="9">
                  <c:v>2199477.6</c:v>
                </c:pt>
                <c:pt idx="10">
                  <c:v>2891089.53</c:v>
                </c:pt>
                <c:pt idx="11">
                  <c:v>2203174.06</c:v>
                </c:pt>
              </c:numCache>
            </c:numRef>
          </c:val>
        </c:ser>
        <c:gapWidth val="150"/>
        <c:overlap val="0"/>
        <c:axId val="45720275"/>
        <c:axId val="27394154"/>
      </c:barChart>
      <c:catAx>
        <c:axId val="45720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94154"/>
        <c:crosses val="autoZero"/>
        <c:auto val="1"/>
        <c:lblAlgn val="ctr"/>
        <c:lblOffset val="100"/>
        <c:noMultiLvlLbl val="0"/>
      </c:catAx>
      <c:valAx>
        <c:axId val="27394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20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Customers'!C5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Customers'!$B$6:$B$20</c:f>
              <c:strCache>
                <c:ptCount val="15"/>
                <c:pt idx="0">
                  <c:v>18102.0</c:v>
                </c:pt>
                <c:pt idx="1">
                  <c:v>14646.0</c:v>
                </c:pt>
                <c:pt idx="2">
                  <c:v>14156.0</c:v>
                </c:pt>
                <c:pt idx="3">
                  <c:v>14911.0</c:v>
                </c:pt>
                <c:pt idx="4">
                  <c:v>17450.0</c:v>
                </c:pt>
                <c:pt idx="5">
                  <c:v>13694.0</c:v>
                </c:pt>
                <c:pt idx="6">
                  <c:v>17511.0</c:v>
                </c:pt>
                <c:pt idx="7">
                  <c:v>16446.0</c:v>
                </c:pt>
                <c:pt idx="8">
                  <c:v>16684.0</c:v>
                </c:pt>
                <c:pt idx="9">
                  <c:v>12415.0</c:v>
                </c:pt>
                <c:pt idx="10">
                  <c:v>15061.0</c:v>
                </c:pt>
                <c:pt idx="11">
                  <c:v>15311.0</c:v>
                </c:pt>
                <c:pt idx="12">
                  <c:v>13089.0</c:v>
                </c:pt>
                <c:pt idx="13">
                  <c:v>16029.0</c:v>
                </c:pt>
                <c:pt idx="14">
                  <c:v>17949.0</c:v>
                </c:pt>
              </c:strCache>
            </c:strRef>
          </c:cat>
          <c:val>
            <c:numRef>
              <c:f>'Top Customers'!$C$6:$C$20</c:f>
              <c:numCache>
                <c:formatCode>#,##0.00</c:formatCode>
                <c:ptCount val="15"/>
                <c:pt idx="0">
                  <c:v>580987.04</c:v>
                </c:pt>
                <c:pt idx="1">
                  <c:v>526751.52</c:v>
                </c:pt>
                <c:pt idx="2">
                  <c:v>305259.17</c:v>
                </c:pt>
                <c:pt idx="3">
                  <c:v>280026.15</c:v>
                </c:pt>
                <c:pt idx="4">
                  <c:v>244784.25</c:v>
                </c:pt>
                <c:pt idx="5">
                  <c:v>195640.69</c:v>
                </c:pt>
                <c:pt idx="6">
                  <c:v>172132.87</c:v>
                </c:pt>
                <c:pt idx="7">
                  <c:v>168472.5</c:v>
                </c:pt>
                <c:pt idx="8">
                  <c:v>147142.77</c:v>
                </c:pt>
                <c:pt idx="9">
                  <c:v>144033.37</c:v>
                </c:pt>
                <c:pt idx="10">
                  <c:v>126387.57</c:v>
                </c:pt>
                <c:pt idx="11">
                  <c:v>114671.42</c:v>
                </c:pt>
                <c:pt idx="12">
                  <c:v>113416.91</c:v>
                </c:pt>
                <c:pt idx="13">
                  <c:v>109620.87</c:v>
                </c:pt>
                <c:pt idx="14">
                  <c:v>107833.48</c:v>
                </c:pt>
              </c:numCache>
            </c:numRef>
          </c:val>
        </c:ser>
        <c:gapWidth val="150"/>
        <c:overlap val="0"/>
        <c:axId val="51877271"/>
        <c:axId val="36950598"/>
      </c:barChart>
      <c:catAx>
        <c:axId val="5187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50598"/>
        <c:crosses val="autoZero"/>
        <c:auto val="1"/>
        <c:lblAlgn val="ctr"/>
        <c:lblOffset val="100"/>
        <c:noMultiLvlLbl val="0"/>
      </c:catAx>
      <c:valAx>
        <c:axId val="36950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7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Regions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Regions!C5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Regions!$B$6:$B$15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Regions!$C$6:$C$15</c:f>
              <c:numCache>
                <c:formatCode>#,##0.00</c:formatCode>
                <c:ptCount val="10"/>
                <c:pt idx="0">
                  <c:v>16844659.69</c:v>
                </c:pt>
                <c:pt idx="1">
                  <c:v>634892.53</c:v>
                </c:pt>
                <c:pt idx="2">
                  <c:v>549773.41</c:v>
                </c:pt>
                <c:pt idx="3">
                  <c:v>383419.24</c:v>
                </c:pt>
                <c:pt idx="4">
                  <c:v>311543.02</c:v>
                </c:pt>
                <c:pt idx="5">
                  <c:v>167800.01</c:v>
                </c:pt>
                <c:pt idx="6">
                  <c:v>97994.5</c:v>
                </c:pt>
                <c:pt idx="7">
                  <c:v>94024.59</c:v>
                </c:pt>
                <c:pt idx="8">
                  <c:v>86319.14</c:v>
                </c:pt>
                <c:pt idx="9">
                  <c:v>67422.69</c:v>
                </c:pt>
              </c:numCache>
            </c:numRef>
          </c:val>
        </c:ser>
        <c:gapWidth val="150"/>
        <c:overlap val="0"/>
        <c:axId val="29381341"/>
        <c:axId val="19793948"/>
      </c:barChart>
      <c:catAx>
        <c:axId val="293813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93948"/>
        <c:crosses val="autoZero"/>
        <c:auto val="1"/>
        <c:lblAlgn val="ctr"/>
        <c:lblOffset val="100"/>
        <c:noMultiLvlLbl val="0"/>
      </c:catAx>
      <c:valAx>
        <c:axId val="19793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1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'Shopping Patterns'!C5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'Shopping Patterns'!$B$6:$B$12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'Shopping Patterns'!$C$6:$C$12</c:f>
              <c:numCache>
                <c:formatCode>#,##0.00</c:formatCode>
                <c:ptCount val="7"/>
                <c:pt idx="0">
                  <c:v>3426766.79</c:v>
                </c:pt>
                <c:pt idx="1">
                  <c:v>3904935.67</c:v>
                </c:pt>
                <c:pt idx="2">
                  <c:v>3377865.88</c:v>
                </c:pt>
                <c:pt idx="3">
                  <c:v>4013965.94</c:v>
                </c:pt>
                <c:pt idx="4">
                  <c:v>3181028.04</c:v>
                </c:pt>
                <c:pt idx="5">
                  <c:v>9803.05</c:v>
                </c:pt>
                <c:pt idx="6">
                  <c:v>1785974.11</c:v>
                </c:pt>
              </c:numCache>
            </c:numRef>
          </c:val>
        </c:ser>
        <c:gapWidth val="150"/>
        <c:overlap val="0"/>
        <c:axId val="7095770"/>
        <c:axId val="48232014"/>
      </c:barChart>
      <c:catAx>
        <c:axId val="70957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32014"/>
        <c:crosses val="autoZero"/>
        <c:auto val="1"/>
        <c:lblAlgn val="ctr"/>
        <c:lblOffset val="100"/>
        <c:noMultiLvlLbl val="0"/>
      </c:catAx>
      <c:valAx>
        <c:axId val="48232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5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'Shopping Patterns'!C16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'Shopping Patterns'!$B$17:$B$31</c:f>
              <c:strCach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strCache>
            </c:strRef>
          </c:cat>
          <c:val>
            <c:numRef>
              <c:f>'Shopping Patterns'!$C$17:$C$31</c:f>
              <c:numCache>
                <c:formatCode>#,##0.00</c:formatCode>
                <c:ptCount val="15"/>
                <c:pt idx="0">
                  <c:v>4.25</c:v>
                </c:pt>
                <c:pt idx="1">
                  <c:v>75079.57</c:v>
                </c:pt>
                <c:pt idx="2">
                  <c:v>522550.2</c:v>
                </c:pt>
                <c:pt idx="3">
                  <c:v>1706090.83</c:v>
                </c:pt>
                <c:pt idx="4">
                  <c:v>2517846.39</c:v>
                </c:pt>
                <c:pt idx="5">
                  <c:v>2424940.16</c:v>
                </c:pt>
                <c:pt idx="6">
                  <c:v>2787378.93</c:v>
                </c:pt>
                <c:pt idx="7">
                  <c:v>2481947.02</c:v>
                </c:pt>
                <c:pt idx="8">
                  <c:v>2229996.83</c:v>
                </c:pt>
                <c:pt idx="9">
                  <c:v>2243577.25</c:v>
                </c:pt>
                <c:pt idx="10">
                  <c:v>1460960.61</c:v>
                </c:pt>
                <c:pt idx="11">
                  <c:v>822168.65</c:v>
                </c:pt>
                <c:pt idx="12">
                  <c:v>263391.29</c:v>
                </c:pt>
                <c:pt idx="13">
                  <c:v>125519.61</c:v>
                </c:pt>
                <c:pt idx="14">
                  <c:v>38887.89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620252"/>
        <c:axId val="9861356"/>
      </c:lineChart>
      <c:catAx>
        <c:axId val="30620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1356"/>
        <c:crosses val="autoZero"/>
        <c:auto val="1"/>
        <c:lblAlgn val="ctr"/>
        <c:lblOffset val="100"/>
        <c:noMultiLvlLbl val="0"/>
      </c:catAx>
      <c:valAx>
        <c:axId val="9861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0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16</xdr:col>
      <xdr:colOff>255960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65322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364320</xdr:colOff>
      <xdr:row>19</xdr:row>
      <xdr:rowOff>132120</xdr:rowOff>
    </xdr:to>
    <xdr:graphicFrame>
      <xdr:nvGraphicFramePr>
        <xdr:cNvPr id="1" name="Chart 1"/>
        <xdr:cNvGraphicFramePr/>
      </xdr:nvGraphicFramePr>
      <xdr:xfrm>
        <a:off x="36669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30</xdr:row>
      <xdr:rowOff>130680</xdr:rowOff>
    </xdr:from>
    <xdr:to>
      <xdr:col>15</xdr:col>
      <xdr:colOff>364320</xdr:colOff>
      <xdr:row>47</xdr:row>
      <xdr:rowOff>131760</xdr:rowOff>
    </xdr:to>
    <xdr:graphicFrame>
      <xdr:nvGraphicFramePr>
        <xdr:cNvPr id="2" name="Chart 2"/>
        <xdr:cNvGraphicFramePr/>
      </xdr:nvGraphicFramePr>
      <xdr:xfrm>
        <a:off x="3666960" y="5905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16</xdr:col>
      <xdr:colOff>364680</xdr:colOff>
      <xdr:row>26</xdr:row>
      <xdr:rowOff>69120</xdr:rowOff>
    </xdr:to>
    <xdr:graphicFrame>
      <xdr:nvGraphicFramePr>
        <xdr:cNvPr id="3" name="Chart 1"/>
        <xdr:cNvGraphicFramePr/>
      </xdr:nvGraphicFramePr>
      <xdr:xfrm>
        <a:off x="5170320" y="762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14</xdr:col>
      <xdr:colOff>256320</xdr:colOff>
      <xdr:row>22</xdr:row>
      <xdr:rowOff>111240</xdr:rowOff>
    </xdr:to>
    <xdr:graphicFrame>
      <xdr:nvGraphicFramePr>
        <xdr:cNvPr id="4" name="Chart 1"/>
        <xdr:cNvGraphicFramePr/>
      </xdr:nvGraphicFramePr>
      <xdr:xfrm>
        <a:off x="4465440" y="762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14</xdr:col>
      <xdr:colOff>255960</xdr:colOff>
      <xdr:row>20</xdr:row>
      <xdr:rowOff>132120</xdr:rowOff>
    </xdr:to>
    <xdr:graphicFrame>
      <xdr:nvGraphicFramePr>
        <xdr:cNvPr id="5" name="Chart 1"/>
        <xdr:cNvGraphicFramePr/>
      </xdr:nvGraphicFramePr>
      <xdr:xfrm>
        <a:off x="3526200" y="762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13</xdr:row>
      <xdr:rowOff>130680</xdr:rowOff>
    </xdr:from>
    <xdr:to>
      <xdr:col>14</xdr:col>
      <xdr:colOff>255960</xdr:colOff>
      <xdr:row>30</xdr:row>
      <xdr:rowOff>131760</xdr:rowOff>
    </xdr:to>
    <xdr:graphicFrame>
      <xdr:nvGraphicFramePr>
        <xdr:cNvPr id="6" name="Chart 2"/>
        <xdr:cNvGraphicFramePr/>
      </xdr:nvGraphicFramePr>
      <xdr:xfrm>
        <a:off x="3526200" y="2666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n">
        <v>19700339.48</v>
      </c>
    </row>
    <row r="7" customFormat="false" ht="15" hidden="false" customHeight="false" outlineLevel="0" collapsed="false">
      <c r="B7" s="4" t="s">
        <v>5</v>
      </c>
      <c r="C7" s="6" t="n">
        <v>39569</v>
      </c>
    </row>
    <row r="8" customFormat="false" ht="15" hidden="false" customHeight="false" outlineLevel="0" collapsed="false">
      <c r="B8" s="4" t="s">
        <v>6</v>
      </c>
      <c r="C8" s="6" t="n">
        <v>5862</v>
      </c>
    </row>
    <row r="9" customFormat="false" ht="15" hidden="false" customHeight="false" outlineLevel="0" collapsed="false">
      <c r="B9" s="4" t="s">
        <v>7</v>
      </c>
      <c r="C9" s="6" t="n">
        <v>43</v>
      </c>
    </row>
    <row r="10" customFormat="false" ht="15" hidden="false" customHeight="false" outlineLevel="0" collapsed="false">
      <c r="B10" s="4" t="s">
        <v>8</v>
      </c>
      <c r="C10" s="6" t="n">
        <v>4907</v>
      </c>
    </row>
    <row r="11" customFormat="false" ht="15" hidden="false" customHeight="false" outlineLevel="0" collapsed="false">
      <c r="B11" s="4" t="s">
        <v>9</v>
      </c>
      <c r="C11" s="5" t="n">
        <v>497.87</v>
      </c>
    </row>
    <row r="14" customFormat="false" ht="15" hidden="false" customHeight="false" outlineLevel="0" collapsed="false">
      <c r="B14" s="7" t="s">
        <v>10</v>
      </c>
    </row>
    <row r="15" customFormat="false" ht="15" hidden="false" customHeight="false" outlineLevel="0" collapsed="false">
      <c r="B15" s="8" t="s">
        <v>11</v>
      </c>
    </row>
    <row r="16" customFormat="false" ht="15" hidden="false" customHeight="false" outlineLevel="0" collapsed="false">
      <c r="B16" s="8" t="s">
        <v>12</v>
      </c>
    </row>
    <row r="17" customFormat="false" ht="15" hidden="false" customHeight="false" outlineLevel="0" collapsed="false">
      <c r="B17" s="8" t="s">
        <v>13</v>
      </c>
    </row>
    <row r="18" customFormat="false" ht="15" hidden="false" customHeight="false" outlineLevel="0" collapsed="false">
      <c r="B18" s="8" t="s">
        <v>14</v>
      </c>
    </row>
    <row r="19" customFormat="false" ht="15" hidden="false" customHeight="false" outlineLevel="0" collapsed="false">
      <c r="B19" s="8" t="s">
        <v>15</v>
      </c>
    </row>
    <row r="20" customFormat="false" ht="15" hidden="false" customHeight="false" outlineLevel="0" collapsed="false">
      <c r="B20" s="8" t="s">
        <v>16</v>
      </c>
    </row>
    <row r="21" customFormat="false" ht="15" hidden="false" customHeight="false" outlineLevel="0" collapsed="false">
      <c r="B21" s="8" t="s">
        <v>17</v>
      </c>
    </row>
    <row r="22" customFormat="false" ht="15" hidden="false" customHeight="false" outlineLevel="0" collapsed="false">
      <c r="B22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6"/>
  </cols>
  <sheetData>
    <row r="2" customFormat="false" ht="19.7" hidden="false" customHeight="false" outlineLevel="0" collapsed="false">
      <c r="B2" s="1" t="s">
        <v>19</v>
      </c>
    </row>
    <row r="3" customFormat="false" ht="15" hidden="false" customHeight="false" outlineLevel="0" collapsed="false">
      <c r="B3" s="2" t="s">
        <v>20</v>
      </c>
    </row>
    <row r="5" customFormat="false" ht="15" hidden="false" customHeight="false" outlineLevel="0" collapsed="false"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</row>
    <row r="6" customFormat="false" ht="15" hidden="false" customHeight="false" outlineLevel="0" collapsed="false">
      <c r="B6" s="10" t="n">
        <v>2009</v>
      </c>
      <c r="C6" s="11" t="n">
        <v>18.43</v>
      </c>
      <c r="D6" s="11" t="n">
        <v>0.06</v>
      </c>
      <c r="E6" s="11" t="n">
        <v>2386.8</v>
      </c>
      <c r="F6" s="11" t="n">
        <v>798618.53</v>
      </c>
      <c r="G6" s="10" t="n">
        <v>43337</v>
      </c>
    </row>
    <row r="7" customFormat="false" ht="15" hidden="false" customHeight="false" outlineLevel="0" collapsed="false">
      <c r="B7" s="10" t="n">
        <v>2010</v>
      </c>
      <c r="C7" s="11" t="n">
        <v>19.67</v>
      </c>
      <c r="D7" s="11" t="n">
        <v>0.06</v>
      </c>
      <c r="E7" s="11" t="n">
        <v>15818.4</v>
      </c>
      <c r="F7" s="11" t="n">
        <v>9411734.9</v>
      </c>
      <c r="G7" s="10" t="n">
        <v>478518</v>
      </c>
    </row>
    <row r="8" customFormat="false" ht="15" hidden="false" customHeight="false" outlineLevel="0" collapsed="false">
      <c r="B8" s="10" t="n">
        <v>2011</v>
      </c>
      <c r="C8" s="11" t="n">
        <v>19.69</v>
      </c>
      <c r="D8" s="11" t="n">
        <v>0.06</v>
      </c>
      <c r="E8" s="11" t="n">
        <v>168469.6</v>
      </c>
      <c r="F8" s="11" t="n">
        <v>9489986.05</v>
      </c>
      <c r="G8" s="10" t="n">
        <v>481875</v>
      </c>
    </row>
    <row r="10" customFormat="false" ht="15" hidden="false" customHeight="false" outlineLevel="0" collapsed="false">
      <c r="B10" s="4" t="s">
        <v>27</v>
      </c>
      <c r="F10" s="12" t="n">
        <f aca="false">SUM(F6:F8)</f>
        <v>19700339.48</v>
      </c>
    </row>
    <row r="12" customFormat="false" ht="15" hidden="false" customHeight="false" outlineLevel="0" collapsed="false">
      <c r="B12" s="7" t="s">
        <v>28</v>
      </c>
    </row>
    <row r="13" customFormat="false" ht="15" hidden="false" customHeight="false" outlineLevel="0" collapsed="false">
      <c r="B13" s="9" t="s">
        <v>21</v>
      </c>
      <c r="C13" s="9" t="s">
        <v>25</v>
      </c>
      <c r="D13" s="9" t="s">
        <v>29</v>
      </c>
    </row>
    <row r="14" customFormat="false" ht="15" hidden="false" customHeight="false" outlineLevel="0" collapsed="false">
      <c r="B14" s="10" t="n">
        <v>2009</v>
      </c>
      <c r="C14" s="11" t="n">
        <v>798618.53</v>
      </c>
      <c r="D14" s="13"/>
    </row>
    <row r="15" customFormat="false" ht="15" hidden="false" customHeight="false" outlineLevel="0" collapsed="false">
      <c r="B15" s="10" t="n">
        <v>2010</v>
      </c>
      <c r="C15" s="11" t="n">
        <v>9411734.9</v>
      </c>
      <c r="D15" s="13" t="n">
        <v>1078.5</v>
      </c>
    </row>
    <row r="16" customFormat="false" ht="15" hidden="false" customHeight="false" outlineLevel="0" collapsed="false">
      <c r="B16" s="10" t="n">
        <v>2011</v>
      </c>
      <c r="C16" s="11" t="n">
        <v>9489986.05</v>
      </c>
      <c r="D16" s="13" t="n">
        <v>0.83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4"/>
  </cols>
  <sheetData>
    <row r="2" customFormat="false" ht="19.7" hidden="false" customHeight="false" outlineLevel="0" collapsed="false">
      <c r="B2" s="1" t="s">
        <v>30</v>
      </c>
    </row>
    <row r="4" customFormat="false" ht="15" hidden="false" customHeight="false" outlineLevel="0" collapsed="false">
      <c r="B4" s="9" t="s">
        <v>31</v>
      </c>
      <c r="C4" s="9" t="s">
        <v>32</v>
      </c>
    </row>
    <row r="5" customFormat="false" ht="15" hidden="false" customHeight="false" outlineLevel="0" collapsed="false">
      <c r="B5" s="10" t="s">
        <v>33</v>
      </c>
      <c r="C5" s="11" t="n">
        <v>798618.53</v>
      </c>
    </row>
    <row r="6" customFormat="false" ht="15" hidden="false" customHeight="false" outlineLevel="0" collapsed="false">
      <c r="B6" s="10" t="s">
        <v>34</v>
      </c>
      <c r="C6" s="11" t="n">
        <v>621413.43</v>
      </c>
    </row>
    <row r="7" customFormat="false" ht="15" hidden="false" customHeight="false" outlineLevel="0" collapsed="false">
      <c r="B7" s="10" t="s">
        <v>35</v>
      </c>
      <c r="C7" s="11" t="n">
        <v>538126.69</v>
      </c>
    </row>
    <row r="8" customFormat="false" ht="15" hidden="false" customHeight="false" outlineLevel="0" collapsed="false">
      <c r="B8" s="10" t="s">
        <v>36</v>
      </c>
      <c r="C8" s="11" t="n">
        <v>762148.53</v>
      </c>
    </row>
    <row r="9" customFormat="false" ht="15" hidden="false" customHeight="false" outlineLevel="0" collapsed="false">
      <c r="B9" s="10" t="s">
        <v>37</v>
      </c>
      <c r="C9" s="11" t="n">
        <v>646875.36</v>
      </c>
    </row>
    <row r="10" customFormat="false" ht="15" hidden="false" customHeight="false" outlineLevel="0" collapsed="false">
      <c r="B10" s="10" t="s">
        <v>38</v>
      </c>
      <c r="C10" s="11" t="n">
        <v>643835.64</v>
      </c>
    </row>
    <row r="11" customFormat="false" ht="15" hidden="false" customHeight="false" outlineLevel="0" collapsed="false">
      <c r="B11" s="10" t="s">
        <v>39</v>
      </c>
      <c r="C11" s="11" t="n">
        <v>697832.32</v>
      </c>
    </row>
    <row r="12" customFormat="false" ht="15" hidden="false" customHeight="false" outlineLevel="0" collapsed="false">
      <c r="B12" s="10" t="s">
        <v>40</v>
      </c>
      <c r="C12" s="11" t="n">
        <v>633839.42</v>
      </c>
    </row>
    <row r="13" customFormat="false" ht="15" hidden="false" customHeight="false" outlineLevel="0" collapsed="false">
      <c r="B13" s="10" t="s">
        <v>41</v>
      </c>
      <c r="C13" s="11" t="n">
        <v>674842.89</v>
      </c>
    </row>
    <row r="14" customFormat="false" ht="15" hidden="false" customHeight="false" outlineLevel="0" collapsed="false">
      <c r="B14" s="10" t="s">
        <v>42</v>
      </c>
      <c r="C14" s="11" t="n">
        <v>869727.16</v>
      </c>
    </row>
    <row r="15" customFormat="false" ht="15" hidden="false" customHeight="false" outlineLevel="0" collapsed="false">
      <c r="B15" s="10" t="s">
        <v>43</v>
      </c>
      <c r="C15" s="11" t="n">
        <v>1095413.63</v>
      </c>
    </row>
    <row r="16" customFormat="false" ht="15" hidden="false" customHeight="false" outlineLevel="0" collapsed="false">
      <c r="B16" s="10" t="s">
        <v>44</v>
      </c>
      <c r="C16" s="11" t="n">
        <v>1437823.55</v>
      </c>
    </row>
    <row r="17" customFormat="false" ht="15" hidden="false" customHeight="false" outlineLevel="0" collapsed="false">
      <c r="B17" s="10" t="s">
        <v>45</v>
      </c>
      <c r="C17" s="11" t="n">
        <v>789856.28</v>
      </c>
    </row>
    <row r="18" customFormat="false" ht="15" hidden="false" customHeight="false" outlineLevel="0" collapsed="false">
      <c r="B18" s="10" t="s">
        <v>46</v>
      </c>
      <c r="C18" s="11" t="n">
        <v>670639.46</v>
      </c>
    </row>
    <row r="19" customFormat="false" ht="15" hidden="false" customHeight="false" outlineLevel="0" collapsed="false">
      <c r="B19" s="10" t="s">
        <v>47</v>
      </c>
      <c r="C19" s="11" t="n">
        <v>508081.54</v>
      </c>
    </row>
    <row r="20" customFormat="false" ht="15" hidden="false" customHeight="false" outlineLevel="0" collapsed="false">
      <c r="B20" s="10" t="s">
        <v>48</v>
      </c>
      <c r="C20" s="11" t="n">
        <v>690811.6</v>
      </c>
    </row>
    <row r="21" customFormat="false" ht="15" hidden="false" customHeight="false" outlineLevel="0" collapsed="false">
      <c r="B21" s="10" t="s">
        <v>49</v>
      </c>
      <c r="C21" s="11" t="n">
        <v>515899.66</v>
      </c>
    </row>
    <row r="22" customFormat="false" ht="15" hidden="false" customHeight="false" outlineLevel="0" collapsed="false">
      <c r="B22" s="10" t="s">
        <v>50</v>
      </c>
      <c r="C22" s="11" t="n">
        <v>740472.33</v>
      </c>
    </row>
    <row r="23" customFormat="false" ht="15" hidden="false" customHeight="false" outlineLevel="0" collapsed="false">
      <c r="B23" s="10" t="s">
        <v>51</v>
      </c>
      <c r="C23" s="11" t="n">
        <v>738233.99</v>
      </c>
    </row>
    <row r="24" customFormat="false" ht="15" hidden="false" customHeight="false" outlineLevel="0" collapsed="false">
      <c r="B24" s="10" t="s">
        <v>52</v>
      </c>
      <c r="C24" s="11" t="n">
        <v>688802.67</v>
      </c>
    </row>
    <row r="25" customFormat="false" ht="15" hidden="false" customHeight="false" outlineLevel="0" collapsed="false">
      <c r="B25" s="10" t="s">
        <v>53</v>
      </c>
      <c r="C25" s="11" t="n">
        <v>735770.22</v>
      </c>
    </row>
    <row r="26" customFormat="false" ht="15" hidden="false" customHeight="false" outlineLevel="0" collapsed="false">
      <c r="B26" s="10" t="s">
        <v>54</v>
      </c>
      <c r="C26" s="11" t="n">
        <v>1029245.38</v>
      </c>
    </row>
    <row r="27" customFormat="false" ht="15" hidden="false" customHeight="false" outlineLevel="0" collapsed="false">
      <c r="B27" s="10" t="s">
        <v>55</v>
      </c>
      <c r="C27" s="11" t="n">
        <v>1104063.97</v>
      </c>
    </row>
    <row r="28" customFormat="false" ht="15" hidden="false" customHeight="false" outlineLevel="0" collapsed="false">
      <c r="B28" s="10" t="s">
        <v>56</v>
      </c>
      <c r="C28" s="11" t="n">
        <v>1453265.98</v>
      </c>
    </row>
    <row r="29" customFormat="false" ht="15" hidden="false" customHeight="false" outlineLevel="0" collapsed="false">
      <c r="B29" s="10" t="s">
        <v>57</v>
      </c>
      <c r="C29" s="11" t="n">
        <v>614699.25</v>
      </c>
    </row>
    <row r="32" customFormat="false" ht="15" hidden="false" customHeight="false" outlineLevel="0" collapsed="false">
      <c r="B32" s="7" t="s">
        <v>58</v>
      </c>
    </row>
    <row r="33" customFormat="false" ht="15" hidden="false" customHeight="false" outlineLevel="0" collapsed="false">
      <c r="B33" s="9" t="s">
        <v>59</v>
      </c>
      <c r="C33" s="9" t="s">
        <v>32</v>
      </c>
    </row>
    <row r="34" customFormat="false" ht="15" hidden="false" customHeight="false" outlineLevel="0" collapsed="false">
      <c r="B34" s="10" t="s">
        <v>60</v>
      </c>
      <c r="C34" s="11" t="n">
        <v>1292052.89</v>
      </c>
    </row>
    <row r="35" customFormat="false" ht="15" hidden="false" customHeight="false" outlineLevel="0" collapsed="false">
      <c r="B35" s="10" t="s">
        <v>61</v>
      </c>
      <c r="C35" s="11" t="n">
        <v>1046208.23</v>
      </c>
    </row>
    <row r="36" customFormat="false" ht="15" hidden="false" customHeight="false" outlineLevel="0" collapsed="false">
      <c r="B36" s="10" t="s">
        <v>62</v>
      </c>
      <c r="C36" s="11" t="n">
        <v>1452960.13</v>
      </c>
    </row>
    <row r="37" customFormat="false" ht="15" hidden="false" customHeight="false" outlineLevel="0" collapsed="false">
      <c r="B37" s="10" t="s">
        <v>63</v>
      </c>
      <c r="C37" s="11" t="n">
        <v>1162775.02</v>
      </c>
    </row>
    <row r="38" customFormat="false" ht="15" hidden="false" customHeight="false" outlineLevel="0" collapsed="false">
      <c r="B38" s="10" t="s">
        <v>64</v>
      </c>
      <c r="C38" s="11" t="n">
        <v>1384307.97</v>
      </c>
    </row>
    <row r="39" customFormat="false" ht="15" hidden="false" customHeight="false" outlineLevel="0" collapsed="false">
      <c r="B39" s="10" t="s">
        <v>65</v>
      </c>
      <c r="C39" s="11" t="n">
        <v>1436066.31</v>
      </c>
    </row>
    <row r="40" customFormat="false" ht="15" hidden="false" customHeight="false" outlineLevel="0" collapsed="false">
      <c r="B40" s="10" t="s">
        <v>66</v>
      </c>
      <c r="C40" s="11" t="n">
        <v>1322642.09</v>
      </c>
    </row>
    <row r="41" customFormat="false" ht="15" hidden="false" customHeight="false" outlineLevel="0" collapsed="false">
      <c r="B41" s="10" t="s">
        <v>67</v>
      </c>
      <c r="C41" s="11" t="n">
        <v>1410613.11</v>
      </c>
    </row>
    <row r="42" customFormat="false" ht="15" hidden="false" customHeight="false" outlineLevel="0" collapsed="false">
      <c r="B42" s="10" t="s">
        <v>68</v>
      </c>
      <c r="C42" s="11" t="n">
        <v>1898972.54</v>
      </c>
    </row>
    <row r="43" customFormat="false" ht="15" hidden="false" customHeight="false" outlineLevel="0" collapsed="false">
      <c r="B43" s="10" t="s">
        <v>69</v>
      </c>
      <c r="C43" s="11" t="n">
        <v>2199477.6</v>
      </c>
    </row>
    <row r="44" customFormat="false" ht="15" hidden="false" customHeight="false" outlineLevel="0" collapsed="false">
      <c r="B44" s="10" t="s">
        <v>70</v>
      </c>
      <c r="C44" s="11" t="n">
        <v>2891089.53</v>
      </c>
    </row>
    <row r="45" customFormat="false" ht="15" hidden="false" customHeight="false" outlineLevel="0" collapsed="false">
      <c r="B45" s="10" t="s">
        <v>71</v>
      </c>
      <c r="C45" s="11" t="n">
        <v>2203174.06</v>
      </c>
    </row>
    <row r="48" customFormat="false" ht="15" hidden="false" customHeight="false" outlineLevel="0" collapsed="false">
      <c r="B48" s="7" t="s">
        <v>72</v>
      </c>
    </row>
    <row r="49" customFormat="false" ht="15" hidden="false" customHeight="false" outlineLevel="0" collapsed="false">
      <c r="B49" s="9" t="s">
        <v>31</v>
      </c>
      <c r="C49" s="9" t="s">
        <v>32</v>
      </c>
    </row>
    <row r="50" customFormat="false" ht="15" hidden="false" customHeight="false" outlineLevel="0" collapsed="false">
      <c r="B50" s="10" t="s">
        <v>56</v>
      </c>
      <c r="C50" s="11" t="n">
        <v>1453265.98</v>
      </c>
    </row>
    <row r="51" customFormat="false" ht="15" hidden="false" customHeight="false" outlineLevel="0" collapsed="false">
      <c r="B51" s="10" t="s">
        <v>44</v>
      </c>
      <c r="C51" s="11" t="n">
        <v>1437823.55</v>
      </c>
    </row>
    <row r="52" customFormat="false" ht="15" hidden="false" customHeight="false" outlineLevel="0" collapsed="false">
      <c r="B52" s="10" t="s">
        <v>55</v>
      </c>
      <c r="C52" s="11" t="n">
        <v>1104063.97</v>
      </c>
    </row>
    <row r="53" customFormat="false" ht="15" hidden="false" customHeight="false" outlineLevel="0" collapsed="false">
      <c r="B53" s="10" t="s">
        <v>43</v>
      </c>
      <c r="C53" s="11" t="n">
        <v>1095413.63</v>
      </c>
    </row>
    <row r="54" customFormat="false" ht="15" hidden="false" customHeight="false" outlineLevel="0" collapsed="false">
      <c r="B54" s="10" t="s">
        <v>54</v>
      </c>
      <c r="C54" s="11" t="n">
        <v>1029245.38</v>
      </c>
    </row>
    <row r="56" customFormat="false" ht="15" hidden="false" customHeight="false" outlineLevel="0" collapsed="false">
      <c r="B56" s="7" t="s">
        <v>73</v>
      </c>
    </row>
    <row r="57" customFormat="false" ht="15" hidden="false" customHeight="false" outlineLevel="0" collapsed="false">
      <c r="B57" s="9" t="s">
        <v>31</v>
      </c>
      <c r="C57" s="9" t="s">
        <v>32</v>
      </c>
    </row>
    <row r="58" customFormat="false" ht="15" hidden="false" customHeight="false" outlineLevel="0" collapsed="false">
      <c r="B58" s="10" t="s">
        <v>47</v>
      </c>
      <c r="C58" s="11" t="n">
        <v>508081.54</v>
      </c>
    </row>
    <row r="59" customFormat="false" ht="15" hidden="false" customHeight="false" outlineLevel="0" collapsed="false">
      <c r="B59" s="10" t="s">
        <v>49</v>
      </c>
      <c r="C59" s="11" t="n">
        <v>515899.66</v>
      </c>
    </row>
    <row r="60" customFormat="false" ht="15" hidden="false" customHeight="false" outlineLevel="0" collapsed="false">
      <c r="B60" s="10" t="s">
        <v>35</v>
      </c>
      <c r="C60" s="11" t="n">
        <v>538126.69</v>
      </c>
    </row>
    <row r="61" customFormat="false" ht="15" hidden="false" customHeight="false" outlineLevel="0" collapsed="false">
      <c r="B61" s="10" t="s">
        <v>57</v>
      </c>
      <c r="C61" s="11" t="n">
        <v>614699.25</v>
      </c>
    </row>
    <row r="62" customFormat="false" ht="15" hidden="false" customHeight="false" outlineLevel="0" collapsed="false">
      <c r="B62" s="10" t="s">
        <v>34</v>
      </c>
      <c r="C62" s="11" t="n">
        <v>621413.43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2" customFormat="false" ht="19.7" hidden="false" customHeight="false" outlineLevel="0" collapsed="false">
      <c r="B2" s="1" t="s">
        <v>74</v>
      </c>
    </row>
    <row r="3" customFormat="false" ht="15" hidden="false" customHeight="false" outlineLevel="0" collapsed="false">
      <c r="B3" s="2" t="s">
        <v>75</v>
      </c>
    </row>
    <row r="5" customFormat="false" ht="15" hidden="false" customHeight="false" outlineLevel="0" collapsed="false">
      <c r="B5" s="9" t="s">
        <v>76</v>
      </c>
      <c r="C5" s="9" t="s">
        <v>25</v>
      </c>
      <c r="D5" s="9" t="s">
        <v>77</v>
      </c>
      <c r="E5" s="9" t="s">
        <v>78</v>
      </c>
    </row>
    <row r="6" customFormat="false" ht="15" hidden="false" customHeight="false" outlineLevel="0" collapsed="false">
      <c r="B6" s="10" t="s">
        <v>79</v>
      </c>
      <c r="C6" s="11" t="n">
        <v>580987.04</v>
      </c>
      <c r="D6" s="10" t="n">
        <v>145</v>
      </c>
      <c r="E6" s="10" t="n">
        <v>181645</v>
      </c>
    </row>
    <row r="7" customFormat="false" ht="15" hidden="false" customHeight="false" outlineLevel="0" collapsed="false">
      <c r="B7" s="10" t="s">
        <v>80</v>
      </c>
      <c r="C7" s="11" t="n">
        <v>526751.52</v>
      </c>
      <c r="D7" s="10" t="n">
        <v>145</v>
      </c>
      <c r="E7" s="10" t="n">
        <v>367072</v>
      </c>
    </row>
    <row r="8" customFormat="false" ht="15" hidden="false" customHeight="false" outlineLevel="0" collapsed="false">
      <c r="B8" s="10" t="s">
        <v>81</v>
      </c>
      <c r="C8" s="11" t="n">
        <v>305259.17</v>
      </c>
      <c r="D8" s="10" t="n">
        <v>151</v>
      </c>
      <c r="E8" s="10" t="n">
        <v>164320</v>
      </c>
    </row>
    <row r="9" customFormat="false" ht="15" hidden="false" customHeight="false" outlineLevel="0" collapsed="false">
      <c r="B9" s="10" t="s">
        <v>82</v>
      </c>
      <c r="C9" s="11" t="n">
        <v>280026.15</v>
      </c>
      <c r="D9" s="10" t="n">
        <v>378</v>
      </c>
      <c r="E9" s="10" t="n">
        <v>147952</v>
      </c>
    </row>
    <row r="10" customFormat="false" ht="15" hidden="false" customHeight="false" outlineLevel="0" collapsed="false">
      <c r="B10" s="10" t="s">
        <v>83</v>
      </c>
      <c r="C10" s="11" t="n">
        <v>244784.25</v>
      </c>
      <c r="D10" s="10" t="n">
        <v>51</v>
      </c>
      <c r="E10" s="10" t="n">
        <v>83914</v>
      </c>
    </row>
    <row r="11" customFormat="false" ht="15" hidden="false" customHeight="false" outlineLevel="0" collapsed="false">
      <c r="B11" s="10" t="s">
        <v>84</v>
      </c>
      <c r="C11" s="11" t="n">
        <v>195640.69</v>
      </c>
      <c r="D11" s="10" t="n">
        <v>143</v>
      </c>
      <c r="E11" s="10" t="n">
        <v>188201</v>
      </c>
    </row>
    <row r="12" customFormat="false" ht="15" hidden="false" customHeight="false" outlineLevel="0" collapsed="false">
      <c r="B12" s="10" t="s">
        <v>85</v>
      </c>
      <c r="C12" s="11" t="n">
        <v>172132.87</v>
      </c>
      <c r="D12" s="10" t="n">
        <v>60</v>
      </c>
      <c r="E12" s="10" t="n">
        <v>117174</v>
      </c>
    </row>
    <row r="13" customFormat="false" ht="15" hidden="false" customHeight="false" outlineLevel="0" collapsed="false">
      <c r="B13" s="10" t="s">
        <v>86</v>
      </c>
      <c r="C13" s="11" t="n">
        <v>168472.5</v>
      </c>
      <c r="D13" s="10" t="n">
        <v>2</v>
      </c>
      <c r="E13" s="10" t="n">
        <v>80997</v>
      </c>
    </row>
    <row r="14" customFormat="false" ht="15" hidden="false" customHeight="false" outlineLevel="0" collapsed="false">
      <c r="B14" s="10" t="s">
        <v>87</v>
      </c>
      <c r="C14" s="11" t="n">
        <v>147142.77</v>
      </c>
      <c r="D14" s="10" t="n">
        <v>55</v>
      </c>
      <c r="E14" s="10" t="n">
        <v>104810</v>
      </c>
    </row>
    <row r="15" customFormat="false" ht="15" hidden="false" customHeight="false" outlineLevel="0" collapsed="false">
      <c r="B15" s="10" t="s">
        <v>88</v>
      </c>
      <c r="C15" s="11" t="n">
        <v>144033.37</v>
      </c>
      <c r="D15" s="10" t="n">
        <v>24</v>
      </c>
      <c r="E15" s="10" t="n">
        <v>91443</v>
      </c>
    </row>
    <row r="16" customFormat="false" ht="15" hidden="false" customHeight="false" outlineLevel="0" collapsed="false">
      <c r="B16" s="10" t="s">
        <v>89</v>
      </c>
      <c r="C16" s="11" t="n">
        <v>126387.57</v>
      </c>
      <c r="D16" s="10" t="n">
        <v>127</v>
      </c>
      <c r="E16" s="10" t="n">
        <v>74279</v>
      </c>
    </row>
    <row r="17" customFormat="false" ht="15" hidden="false" customHeight="false" outlineLevel="0" collapsed="false">
      <c r="B17" s="10" t="s">
        <v>90</v>
      </c>
      <c r="C17" s="11" t="n">
        <v>114671.42</v>
      </c>
      <c r="D17" s="10" t="n">
        <v>207</v>
      </c>
      <c r="E17" s="10" t="n">
        <v>69908</v>
      </c>
    </row>
    <row r="18" customFormat="false" ht="15" hidden="false" customHeight="false" outlineLevel="0" collapsed="false">
      <c r="B18" s="10" t="s">
        <v>91</v>
      </c>
      <c r="C18" s="11" t="n">
        <v>113416.91</v>
      </c>
      <c r="D18" s="10" t="n">
        <v>203</v>
      </c>
      <c r="E18" s="10" t="n">
        <v>58932</v>
      </c>
    </row>
    <row r="19" customFormat="false" ht="15" hidden="false" customHeight="false" outlineLevel="0" collapsed="false">
      <c r="B19" s="10" t="s">
        <v>92</v>
      </c>
      <c r="C19" s="11" t="n">
        <v>109620.87</v>
      </c>
      <c r="D19" s="10" t="n">
        <v>106</v>
      </c>
      <c r="E19" s="10" t="n">
        <v>54449</v>
      </c>
    </row>
    <row r="20" customFormat="false" ht="15" hidden="false" customHeight="false" outlineLevel="0" collapsed="false">
      <c r="B20" s="10" t="s">
        <v>93</v>
      </c>
      <c r="C20" s="11" t="n">
        <v>107833.48</v>
      </c>
      <c r="D20" s="10" t="n">
        <v>116</v>
      </c>
      <c r="E20" s="10" t="n">
        <v>60440</v>
      </c>
    </row>
    <row r="23" customFormat="false" ht="15" hidden="false" customHeight="false" outlineLevel="0" collapsed="false">
      <c r="B23" s="7" t="s">
        <v>94</v>
      </c>
    </row>
    <row r="24" customFormat="false" ht="15" hidden="false" customHeight="false" outlineLevel="0" collapsed="false">
      <c r="B24" s="9" t="s">
        <v>95</v>
      </c>
      <c r="C24" s="9" t="s">
        <v>96</v>
      </c>
      <c r="D24" s="9" t="s">
        <v>97</v>
      </c>
    </row>
    <row r="25" customFormat="false" ht="15" hidden="false" customHeight="false" outlineLevel="0" collapsed="false">
      <c r="B25" s="10" t="s">
        <v>98</v>
      </c>
      <c r="C25" s="10" t="n">
        <v>1165</v>
      </c>
      <c r="D25" s="11" t="n">
        <v>346.34</v>
      </c>
    </row>
    <row r="26" customFormat="false" ht="15" hidden="false" customHeight="false" outlineLevel="0" collapsed="false">
      <c r="B26" s="10" t="s">
        <v>99</v>
      </c>
      <c r="C26" s="10" t="n">
        <v>1733</v>
      </c>
      <c r="D26" s="11" t="n">
        <v>7930.94</v>
      </c>
    </row>
    <row r="27" customFormat="false" ht="15" hidden="false" customHeight="false" outlineLevel="0" collapsed="false">
      <c r="B27" s="10" t="s">
        <v>100</v>
      </c>
      <c r="C27" s="10" t="n">
        <v>564</v>
      </c>
      <c r="D27" s="11" t="n">
        <v>172.46</v>
      </c>
    </row>
    <row r="28" customFormat="false" ht="15" hidden="false" customHeight="false" outlineLevel="0" collapsed="false">
      <c r="B28" s="10" t="s">
        <v>101</v>
      </c>
      <c r="C28" s="10" t="n">
        <v>1178</v>
      </c>
      <c r="D28" s="11" t="n">
        <v>1609.14</v>
      </c>
    </row>
    <row r="29" customFormat="false" ht="15" hidden="false" customHeight="false" outlineLevel="0" collapsed="false">
      <c r="B29" s="10" t="s">
        <v>102</v>
      </c>
      <c r="C29" s="10" t="n">
        <v>1222</v>
      </c>
      <c r="D29" s="11" t="n">
        <v>773.12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</cols>
  <sheetData>
    <row r="2" customFormat="false" ht="19.7" hidden="false" customHeight="false" outlineLevel="0" collapsed="false">
      <c r="B2" s="1" t="s">
        <v>103</v>
      </c>
    </row>
    <row r="4" customFormat="false" ht="15" hidden="false" customHeight="false" outlineLevel="0" collapsed="false">
      <c r="B4" s="7" t="s">
        <v>104</v>
      </c>
    </row>
    <row r="5" customFormat="false" ht="15" hidden="false" customHeight="false" outlineLevel="0" collapsed="false">
      <c r="B5" s="9" t="s">
        <v>105</v>
      </c>
      <c r="C5" s="9" t="s">
        <v>25</v>
      </c>
      <c r="D5" s="9" t="s">
        <v>77</v>
      </c>
    </row>
    <row r="6" customFormat="false" ht="15" hidden="false" customHeight="false" outlineLevel="0" collapsed="false">
      <c r="B6" s="10" t="s">
        <v>106</v>
      </c>
      <c r="C6" s="11" t="n">
        <v>16844659.69</v>
      </c>
      <c r="D6" s="10" t="n">
        <v>36206</v>
      </c>
    </row>
    <row r="7" customFormat="false" ht="15" hidden="false" customHeight="false" outlineLevel="0" collapsed="false">
      <c r="B7" s="10" t="s">
        <v>107</v>
      </c>
      <c r="C7" s="11" t="n">
        <v>634892.53</v>
      </c>
      <c r="D7" s="10" t="n">
        <v>598</v>
      </c>
    </row>
    <row r="8" customFormat="false" ht="15" hidden="false" customHeight="false" outlineLevel="0" collapsed="false">
      <c r="B8" s="10" t="s">
        <v>108</v>
      </c>
      <c r="C8" s="11" t="n">
        <v>549773.41</v>
      </c>
      <c r="D8" s="10" t="n">
        <v>216</v>
      </c>
    </row>
    <row r="9" customFormat="false" ht="15" hidden="false" customHeight="false" outlineLevel="0" collapsed="false">
      <c r="B9" s="10" t="s">
        <v>109</v>
      </c>
      <c r="C9" s="11" t="n">
        <v>383419.24</v>
      </c>
      <c r="D9" s="10" t="n">
        <v>756</v>
      </c>
    </row>
    <row r="10" customFormat="false" ht="15" hidden="false" customHeight="false" outlineLevel="0" collapsed="false">
      <c r="B10" s="10" t="s">
        <v>110</v>
      </c>
      <c r="C10" s="11" t="n">
        <v>311543.02</v>
      </c>
      <c r="D10" s="10" t="n">
        <v>602</v>
      </c>
    </row>
    <row r="11" customFormat="false" ht="15" hidden="false" customHeight="false" outlineLevel="0" collapsed="false">
      <c r="B11" s="10" t="s">
        <v>111</v>
      </c>
      <c r="C11" s="11" t="n">
        <v>167800.01</v>
      </c>
      <c r="D11" s="10" t="n">
        <v>89</v>
      </c>
    </row>
    <row r="12" customFormat="false" ht="15" hidden="false" customHeight="false" outlineLevel="0" collapsed="false">
      <c r="B12" s="10" t="s">
        <v>112</v>
      </c>
      <c r="C12" s="11" t="n">
        <v>97994.5</v>
      </c>
      <c r="D12" s="10" t="n">
        <v>147</v>
      </c>
    </row>
    <row r="13" customFormat="false" ht="15" hidden="false" customHeight="false" outlineLevel="0" collapsed="false">
      <c r="B13" s="10" t="s">
        <v>113</v>
      </c>
      <c r="C13" s="11" t="n">
        <v>94024.59</v>
      </c>
      <c r="D13" s="10" t="n">
        <v>85</v>
      </c>
    </row>
    <row r="14" customFormat="false" ht="15" hidden="false" customHeight="false" outlineLevel="0" collapsed="false">
      <c r="B14" s="10" t="s">
        <v>114</v>
      </c>
      <c r="C14" s="11" t="n">
        <v>86319.14</v>
      </c>
      <c r="D14" s="10" t="n">
        <v>99</v>
      </c>
    </row>
    <row r="15" customFormat="false" ht="15" hidden="false" customHeight="false" outlineLevel="0" collapsed="false">
      <c r="B15" s="10" t="s">
        <v>115</v>
      </c>
      <c r="C15" s="11" t="n">
        <v>67422.69</v>
      </c>
      <c r="D15" s="10" t="n">
        <v>42</v>
      </c>
    </row>
    <row r="18" customFormat="false" ht="15" hidden="false" customHeight="false" outlineLevel="0" collapsed="false">
      <c r="B18" s="7" t="s">
        <v>116</v>
      </c>
    </row>
    <row r="19" customFormat="false" ht="15" hidden="false" customHeight="false" outlineLevel="0" collapsed="false">
      <c r="B19" s="9" t="s">
        <v>105</v>
      </c>
      <c r="C19" s="9" t="s">
        <v>25</v>
      </c>
      <c r="D19" s="9" t="s">
        <v>77</v>
      </c>
    </row>
    <row r="20" customFormat="false" ht="15" hidden="false" customHeight="false" outlineLevel="0" collapsed="false">
      <c r="B20" s="10" t="s">
        <v>117</v>
      </c>
      <c r="C20" s="11" t="n">
        <v>140.39</v>
      </c>
      <c r="D20" s="10" t="n">
        <v>2</v>
      </c>
    </row>
    <row r="21" customFormat="false" ht="15" hidden="false" customHeight="false" outlineLevel="0" collapsed="false">
      <c r="B21" s="10" t="s">
        <v>118</v>
      </c>
      <c r="C21" s="11" t="n">
        <v>145.92</v>
      </c>
      <c r="D21" s="10" t="n">
        <v>1</v>
      </c>
    </row>
    <row r="22" customFormat="false" ht="15" hidden="false" customHeight="false" outlineLevel="0" collapsed="false">
      <c r="B22" s="10" t="s">
        <v>119</v>
      </c>
      <c r="C22" s="11" t="n">
        <v>536.41</v>
      </c>
      <c r="D22" s="10" t="n">
        <v>1</v>
      </c>
    </row>
    <row r="23" customFormat="false" ht="15" hidden="false" customHeight="false" outlineLevel="0" collapsed="false">
      <c r="B23" s="10" t="s">
        <v>120</v>
      </c>
      <c r="C23" s="11" t="n">
        <v>786.74</v>
      </c>
      <c r="D23" s="10" t="n">
        <v>2</v>
      </c>
    </row>
    <row r="24" customFormat="false" ht="15" hidden="false" customHeight="false" outlineLevel="0" collapsed="false">
      <c r="B24" s="10" t="s">
        <v>121</v>
      </c>
      <c r="C24" s="11" t="n">
        <v>1118.51</v>
      </c>
      <c r="D24" s="10" t="n">
        <v>2</v>
      </c>
    </row>
    <row r="25" customFormat="false" ht="15" hidden="false" customHeight="false" outlineLevel="0" collapsed="false">
      <c r="B25" s="10" t="s">
        <v>122</v>
      </c>
      <c r="C25" s="11" t="n">
        <v>1159.25</v>
      </c>
      <c r="D25" s="10" t="n">
        <v>3</v>
      </c>
    </row>
    <row r="26" customFormat="false" ht="15" hidden="false" customHeight="false" outlineLevel="0" collapsed="false">
      <c r="B26" s="10" t="s">
        <v>123</v>
      </c>
      <c r="C26" s="11" t="n">
        <v>1253.14</v>
      </c>
      <c r="D26" s="10" t="n">
        <v>1</v>
      </c>
    </row>
    <row r="27" customFormat="false" ht="15" hidden="false" customHeight="false" outlineLevel="0" collapsed="false">
      <c r="B27" s="10" t="s">
        <v>124</v>
      </c>
      <c r="C27" s="11" t="n">
        <v>1411.87</v>
      </c>
      <c r="D27" s="10" t="n">
        <v>2</v>
      </c>
    </row>
    <row r="28" customFormat="false" ht="15" hidden="false" customHeight="false" outlineLevel="0" collapsed="false">
      <c r="B28" s="10" t="s">
        <v>125</v>
      </c>
      <c r="C28" s="11" t="n">
        <v>1905.58</v>
      </c>
      <c r="D28" s="10" t="n">
        <v>2</v>
      </c>
    </row>
    <row r="29" customFormat="false" ht="15" hidden="false" customHeight="false" outlineLevel="0" collapsed="false">
      <c r="B29" s="10" t="s">
        <v>126</v>
      </c>
      <c r="C29" s="11" t="n">
        <v>3070.54</v>
      </c>
      <c r="D29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2"/>
  </cols>
  <sheetData>
    <row r="2" customFormat="false" ht="19.7" hidden="false" customHeight="false" outlineLevel="0" collapsed="false">
      <c r="B2" s="1" t="s">
        <v>127</v>
      </c>
    </row>
    <row r="4" customFormat="false" ht="15" hidden="false" customHeight="false" outlineLevel="0" collapsed="false">
      <c r="B4" s="9" t="s">
        <v>128</v>
      </c>
      <c r="C4" s="9" t="s">
        <v>129</v>
      </c>
      <c r="D4" s="9" t="s">
        <v>25</v>
      </c>
      <c r="E4" s="9" t="s">
        <v>130</v>
      </c>
    </row>
    <row r="5" customFormat="false" ht="15" hidden="false" customHeight="false" outlineLevel="0" collapsed="false">
      <c r="B5" s="10" t="s">
        <v>131</v>
      </c>
      <c r="C5" s="10" t="s">
        <v>132</v>
      </c>
      <c r="D5" s="11" t="n">
        <v>330590.32</v>
      </c>
      <c r="E5" s="10" t="n">
        <v>26478</v>
      </c>
    </row>
    <row r="6" customFormat="false" ht="15" hidden="false" customHeight="false" outlineLevel="0" collapsed="false">
      <c r="B6" s="10" t="s">
        <v>133</v>
      </c>
      <c r="C6" s="10" t="s">
        <v>134</v>
      </c>
      <c r="D6" s="11" t="n">
        <v>257546.2</v>
      </c>
      <c r="E6" s="10" t="n">
        <v>94142</v>
      </c>
    </row>
    <row r="7" customFormat="false" ht="15" hidden="false" customHeight="false" outlineLevel="0" collapsed="false">
      <c r="B7" s="10" t="s">
        <v>135</v>
      </c>
      <c r="C7" s="10" t="s">
        <v>136</v>
      </c>
      <c r="D7" s="11" t="n">
        <v>168469.6</v>
      </c>
      <c r="E7" s="10" t="n">
        <v>80995</v>
      </c>
    </row>
    <row r="8" customFormat="false" ht="15" hidden="false" customHeight="false" outlineLevel="0" collapsed="false">
      <c r="B8" s="10" t="s">
        <v>137</v>
      </c>
      <c r="C8" s="10" t="s">
        <v>138</v>
      </c>
      <c r="D8" s="11" t="n">
        <v>148318.28</v>
      </c>
      <c r="E8" s="10" t="n">
        <v>28200</v>
      </c>
    </row>
    <row r="9" customFormat="false" ht="15" hidden="false" customHeight="false" outlineLevel="0" collapsed="false">
      <c r="B9" s="10" t="s">
        <v>139</v>
      </c>
      <c r="C9" s="10" t="s">
        <v>140</v>
      </c>
      <c r="D9" s="11" t="n">
        <v>145961.83</v>
      </c>
      <c r="E9" s="10" t="n">
        <v>77280</v>
      </c>
    </row>
    <row r="10" customFormat="false" ht="15" hidden="false" customHeight="false" outlineLevel="0" collapsed="false">
      <c r="B10" s="10" t="s">
        <v>141</v>
      </c>
      <c r="C10" s="10" t="s">
        <v>142</v>
      </c>
      <c r="D10" s="11" t="n">
        <v>129324.49</v>
      </c>
      <c r="E10" s="10" t="n">
        <v>80082</v>
      </c>
    </row>
    <row r="11" customFormat="false" ht="15" hidden="false" customHeight="false" outlineLevel="0" collapsed="false">
      <c r="B11" s="10" t="s">
        <v>143</v>
      </c>
      <c r="C11" s="10" t="s">
        <v>144</v>
      </c>
      <c r="D11" s="11" t="n">
        <v>117760.29</v>
      </c>
      <c r="E11" s="10" t="n">
        <v>35084</v>
      </c>
    </row>
    <row r="12" customFormat="false" ht="15" hidden="false" customHeight="false" outlineLevel="0" collapsed="false">
      <c r="B12" s="10" t="s">
        <v>145</v>
      </c>
      <c r="C12" s="10" t="s">
        <v>146</v>
      </c>
      <c r="D12" s="11" t="n">
        <v>81700.92</v>
      </c>
      <c r="E12" s="10" t="n">
        <v>78033</v>
      </c>
    </row>
    <row r="13" customFormat="false" ht="15" hidden="false" customHeight="false" outlineLevel="0" collapsed="false">
      <c r="B13" s="10" t="s">
        <v>147</v>
      </c>
      <c r="C13" s="10" t="s">
        <v>148</v>
      </c>
      <c r="D13" s="11" t="n">
        <v>80540.88</v>
      </c>
      <c r="E13" s="10" t="n">
        <v>15841</v>
      </c>
    </row>
    <row r="14" customFormat="false" ht="15" hidden="false" customHeight="false" outlineLevel="0" collapsed="false">
      <c r="B14" s="10" t="s">
        <v>149</v>
      </c>
      <c r="C14" s="10" t="s">
        <v>150</v>
      </c>
      <c r="D14" s="11" t="n">
        <v>71300.4</v>
      </c>
      <c r="E14" s="10" t="n">
        <v>31409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4"/>
  </cols>
  <sheetData>
    <row r="2" customFormat="false" ht="19.7" hidden="false" customHeight="false" outlineLevel="0" collapsed="false">
      <c r="B2" s="1" t="s">
        <v>151</v>
      </c>
    </row>
    <row r="3" customFormat="false" ht="15" hidden="false" customHeight="false" outlineLevel="0" collapsed="false">
      <c r="B3" s="2" t="s">
        <v>152</v>
      </c>
    </row>
    <row r="5" customFormat="false" ht="15" hidden="false" customHeight="false" outlineLevel="0" collapsed="false">
      <c r="B5" s="9" t="s">
        <v>153</v>
      </c>
      <c r="C5" s="9" t="s">
        <v>32</v>
      </c>
    </row>
    <row r="6" customFormat="false" ht="15" hidden="false" customHeight="false" outlineLevel="0" collapsed="false">
      <c r="B6" s="10" t="s">
        <v>154</v>
      </c>
      <c r="C6" s="11" t="n">
        <v>3426766.79</v>
      </c>
    </row>
    <row r="7" customFormat="false" ht="15" hidden="false" customHeight="false" outlineLevel="0" collapsed="false">
      <c r="B7" s="10" t="s">
        <v>155</v>
      </c>
      <c r="C7" s="11" t="n">
        <v>3904935.67</v>
      </c>
    </row>
    <row r="8" customFormat="false" ht="15" hidden="false" customHeight="false" outlineLevel="0" collapsed="false">
      <c r="B8" s="10" t="s">
        <v>156</v>
      </c>
      <c r="C8" s="11" t="n">
        <v>3377865.88</v>
      </c>
    </row>
    <row r="9" customFormat="false" ht="15" hidden="false" customHeight="false" outlineLevel="0" collapsed="false">
      <c r="B9" s="10" t="s">
        <v>157</v>
      </c>
      <c r="C9" s="11" t="n">
        <v>4013965.94</v>
      </c>
    </row>
    <row r="10" customFormat="false" ht="15" hidden="false" customHeight="false" outlineLevel="0" collapsed="false">
      <c r="B10" s="10" t="s">
        <v>158</v>
      </c>
      <c r="C10" s="11" t="n">
        <v>3181028.04</v>
      </c>
    </row>
    <row r="11" customFormat="false" ht="15" hidden="false" customHeight="false" outlineLevel="0" collapsed="false">
      <c r="B11" s="10" t="s">
        <v>159</v>
      </c>
      <c r="C11" s="11" t="n">
        <v>9803.05</v>
      </c>
    </row>
    <row r="12" customFormat="false" ht="15" hidden="false" customHeight="false" outlineLevel="0" collapsed="false">
      <c r="B12" s="10" t="s">
        <v>160</v>
      </c>
      <c r="C12" s="11" t="n">
        <v>1785974.11</v>
      </c>
    </row>
    <row r="15" customFormat="false" ht="15" hidden="false" customHeight="false" outlineLevel="0" collapsed="false">
      <c r="B15" s="7" t="s">
        <v>161</v>
      </c>
    </row>
    <row r="16" customFormat="false" ht="15" hidden="false" customHeight="false" outlineLevel="0" collapsed="false">
      <c r="B16" s="9" t="s">
        <v>162</v>
      </c>
      <c r="C16" s="9" t="s">
        <v>32</v>
      </c>
    </row>
    <row r="17" customFormat="false" ht="15" hidden="false" customHeight="false" outlineLevel="0" collapsed="false">
      <c r="B17" s="10" t="n">
        <v>6</v>
      </c>
      <c r="C17" s="11" t="n">
        <v>4.25</v>
      </c>
    </row>
    <row r="18" customFormat="false" ht="15" hidden="false" customHeight="false" outlineLevel="0" collapsed="false">
      <c r="B18" s="10" t="n">
        <v>7</v>
      </c>
      <c r="C18" s="11" t="n">
        <v>75079.57</v>
      </c>
    </row>
    <row r="19" customFormat="false" ht="15" hidden="false" customHeight="false" outlineLevel="0" collapsed="false">
      <c r="B19" s="10" t="n">
        <v>8</v>
      </c>
      <c r="C19" s="11" t="n">
        <v>522550.2</v>
      </c>
    </row>
    <row r="20" customFormat="false" ht="15" hidden="false" customHeight="false" outlineLevel="0" collapsed="false">
      <c r="B20" s="10" t="n">
        <v>9</v>
      </c>
      <c r="C20" s="11" t="n">
        <v>1706090.83</v>
      </c>
    </row>
    <row r="21" customFormat="false" ht="15" hidden="false" customHeight="false" outlineLevel="0" collapsed="false">
      <c r="B21" s="10" t="n">
        <v>10</v>
      </c>
      <c r="C21" s="11" t="n">
        <v>2517846.39</v>
      </c>
    </row>
    <row r="22" customFormat="false" ht="15" hidden="false" customHeight="false" outlineLevel="0" collapsed="false">
      <c r="B22" s="10" t="n">
        <v>11</v>
      </c>
      <c r="C22" s="11" t="n">
        <v>2424940.16</v>
      </c>
    </row>
    <row r="23" customFormat="false" ht="15" hidden="false" customHeight="false" outlineLevel="0" collapsed="false">
      <c r="B23" s="10" t="n">
        <v>12</v>
      </c>
      <c r="C23" s="11" t="n">
        <v>2787378.93</v>
      </c>
    </row>
    <row r="24" customFormat="false" ht="15" hidden="false" customHeight="false" outlineLevel="0" collapsed="false">
      <c r="B24" s="10" t="n">
        <v>13</v>
      </c>
      <c r="C24" s="11" t="n">
        <v>2481947.02</v>
      </c>
    </row>
    <row r="25" customFormat="false" ht="15" hidden="false" customHeight="false" outlineLevel="0" collapsed="false">
      <c r="B25" s="10" t="n">
        <v>14</v>
      </c>
      <c r="C25" s="11" t="n">
        <v>2229996.83</v>
      </c>
    </row>
    <row r="26" customFormat="false" ht="15" hidden="false" customHeight="false" outlineLevel="0" collapsed="false">
      <c r="B26" s="10" t="n">
        <v>15</v>
      </c>
      <c r="C26" s="11" t="n">
        <v>2243577.25</v>
      </c>
    </row>
    <row r="27" customFormat="false" ht="15" hidden="false" customHeight="false" outlineLevel="0" collapsed="false">
      <c r="B27" s="10" t="n">
        <v>16</v>
      </c>
      <c r="C27" s="11" t="n">
        <v>1460960.61</v>
      </c>
    </row>
    <row r="28" customFormat="false" ht="15" hidden="false" customHeight="false" outlineLevel="0" collapsed="false">
      <c r="B28" s="10" t="n">
        <v>17</v>
      </c>
      <c r="C28" s="11" t="n">
        <v>822168.65</v>
      </c>
    </row>
    <row r="29" customFormat="false" ht="15" hidden="false" customHeight="false" outlineLevel="0" collapsed="false">
      <c r="B29" s="10" t="n">
        <v>18</v>
      </c>
      <c r="C29" s="11" t="n">
        <v>263391.29</v>
      </c>
    </row>
    <row r="30" customFormat="false" ht="15" hidden="false" customHeight="false" outlineLevel="0" collapsed="false">
      <c r="B30" s="10" t="n">
        <v>19</v>
      </c>
      <c r="C30" s="11" t="n">
        <v>125519.61</v>
      </c>
    </row>
    <row r="31" customFormat="false" ht="15" hidden="false" customHeight="false" outlineLevel="0" collapsed="false">
      <c r="B31" s="10" t="n">
        <v>20</v>
      </c>
      <c r="C31" s="11" t="n">
        <v>38887.89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2026-07-15T03:59:35Z</dcterms:created>
  <dc:creator>openpyxl</dc:creator>
  <dc:description/>
  <dc:language>en-US</dc:language>
  <cp:lastModifiedBy/>
  <dcterms:modified xsi:type="dcterms:W3CDTF">2026-07-15T03:59:48Z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